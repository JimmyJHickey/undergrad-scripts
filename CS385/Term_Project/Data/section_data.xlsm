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Hickey14\Documents\Classes\Applied_Database_Management_Systems\Term_Project\Data\"/>
    </mc:Choice>
  </mc:AlternateContent>
  <bookViews>
    <workbookView xWindow="0" yWindow="0" windowWidth="24000" windowHeight="9885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" i="2"/>
  <c r="S3" i="2"/>
  <c r="M3" i="2" s="1"/>
  <c r="S4" i="2"/>
  <c r="M4" i="2" s="1"/>
  <c r="S5" i="2"/>
  <c r="M5" i="2" s="1"/>
  <c r="S6" i="2"/>
  <c r="M6" i="2" s="1"/>
  <c r="S7" i="2"/>
  <c r="M7" i="2" s="1"/>
  <c r="S8" i="2"/>
  <c r="M8" i="2" s="1"/>
  <c r="S9" i="2"/>
  <c r="M9" i="2" s="1"/>
  <c r="S10" i="2"/>
  <c r="M10" i="2" s="1"/>
  <c r="S11" i="2"/>
  <c r="M11" i="2" s="1"/>
  <c r="S12" i="2"/>
  <c r="M12" i="2" s="1"/>
  <c r="S13" i="2"/>
  <c r="M13" i="2" s="1"/>
  <c r="S14" i="2"/>
  <c r="M14" i="2" s="1"/>
  <c r="S15" i="2"/>
  <c r="M15" i="2" s="1"/>
  <c r="S16" i="2"/>
  <c r="M16" i="2" s="1"/>
  <c r="S17" i="2"/>
  <c r="M17" i="2" s="1"/>
  <c r="S18" i="2"/>
  <c r="M18" i="2" s="1"/>
  <c r="S19" i="2"/>
  <c r="M19" i="2" s="1"/>
  <c r="S20" i="2"/>
  <c r="M20" i="2" s="1"/>
  <c r="S21" i="2"/>
  <c r="M21" i="2" s="1"/>
  <c r="S22" i="2"/>
  <c r="M22" i="2" s="1"/>
  <c r="S23" i="2"/>
  <c r="M23" i="2" s="1"/>
  <c r="S24" i="2"/>
  <c r="M24" i="2" s="1"/>
  <c r="S25" i="2"/>
  <c r="M25" i="2" s="1"/>
  <c r="S26" i="2"/>
  <c r="M26" i="2" s="1"/>
  <c r="S2" i="2"/>
  <c r="M2" i="2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5" i="2"/>
  <c r="L26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5" i="2"/>
  <c r="K26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" i="2"/>
  <c r="H2" i="1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" i="2"/>
  <c r="L30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" i="1"/>
</calcChain>
</file>

<file path=xl/sharedStrings.xml><?xml version="1.0" encoding="utf-8"?>
<sst xmlns="http://schemas.openxmlformats.org/spreadsheetml/2006/main" count="237" uniqueCount="74">
  <si>
    <t>ID #</t>
  </si>
  <si>
    <t>Days</t>
  </si>
  <si>
    <t>Time</t>
  </si>
  <si>
    <t>Instructor</t>
  </si>
  <si>
    <t>11:00am - 11:50am</t>
  </si>
  <si>
    <t>Schumacher, Paul</t>
  </si>
  <si>
    <t>W</t>
  </si>
  <si>
    <t>9:30am - 10:50am</t>
  </si>
  <si>
    <t>Zhang, Mingrui</t>
  </si>
  <si>
    <t>12:00pm - 12:50pm</t>
  </si>
  <si>
    <t>2:00pm - 3:20pm</t>
  </si>
  <si>
    <t>11:00am - 12:20pm</t>
  </si>
  <si>
    <t>Francioni, Joan</t>
  </si>
  <si>
    <t>M W</t>
  </si>
  <si>
    <t>9:00am - 10:50am</t>
  </si>
  <si>
    <t>Staff, </t>
  </si>
  <si>
    <t>9:30am - 11:20am</t>
  </si>
  <si>
    <t>11:30am - 1:20pm</t>
  </si>
  <si>
    <t>2:00pm - 3:50pm</t>
  </si>
  <si>
    <t>8:00am - 9:50am</t>
  </si>
  <si>
    <t>Iyengar, Sudharsan</t>
  </si>
  <si>
    <t>10:00am - 11:50am</t>
  </si>
  <si>
    <t>Gegg-Harrison, Timothy</t>
  </si>
  <si>
    <t>1:30pm - 3:20pm</t>
  </si>
  <si>
    <t>7:50am - 9:20am</t>
  </si>
  <si>
    <t>Cichanowski, Gerald</t>
  </si>
  <si>
    <t>3:30pm - 5:20pm</t>
  </si>
  <si>
    <t>Debnath, Narayan</t>
  </si>
  <si>
    <t>4:00pm - 6:40pm</t>
  </si>
  <si>
    <t>11:00am - 12:50pm</t>
  </si>
  <si>
    <t>9:00am - 10:20am</t>
  </si>
  <si>
    <t>12:30pm - 1:50pm</t>
  </si>
  <si>
    <t>3:30pm - 4:50pm</t>
  </si>
  <si>
    <t>8:00am - 9:20am</t>
  </si>
  <si>
    <t>Section_ID</t>
  </si>
  <si>
    <t>Fname</t>
  </si>
  <si>
    <t>Lname</t>
  </si>
  <si>
    <t>Start_time</t>
  </si>
  <si>
    <t>End_time</t>
  </si>
  <si>
    <t>Instructor_StarID</t>
  </si>
  <si>
    <t>Name determines Star_ID</t>
  </si>
  <si>
    <t>This is wrong</t>
  </si>
  <si>
    <t>M W F</t>
  </si>
  <si>
    <t>T Th</t>
  </si>
  <si>
    <t>MWF</t>
  </si>
  <si>
    <t>Number of Days</t>
  </si>
  <si>
    <t>TH</t>
  </si>
  <si>
    <t>MW</t>
  </si>
  <si>
    <t>Number of classes</t>
  </si>
  <si>
    <t>Subj</t>
  </si>
  <si>
    <t>#</t>
  </si>
  <si>
    <t>CS</t>
  </si>
  <si>
    <t>T Th</t>
  </si>
  <si>
    <t>M</t>
  </si>
  <si>
    <t>12:00pm - 1:20pm</t>
  </si>
  <si>
    <t>Hillery, Allen</t>
  </si>
  <si>
    <t>8:00am - 10:00am</t>
  </si>
  <si>
    <t>F</t>
  </si>
  <si>
    <t>9:30am - 10:20am</t>
  </si>
  <si>
    <t>Ahmed, Emdad</t>
  </si>
  <si>
    <t>4:00pm - 5:50pm</t>
  </si>
  <si>
    <t>n/a</t>
  </si>
  <si>
    <t>Lin, Chi-Cheng</t>
  </si>
  <si>
    <t>4:00pm - 6:20pm</t>
  </si>
  <si>
    <t>M W F</t>
  </si>
  <si>
    <t>Arranged</t>
  </si>
  <si>
    <t>10:00am - 11:20am</t>
  </si>
  <si>
    <t>L_name</t>
  </si>
  <si>
    <t>course_id</t>
  </si>
  <si>
    <t>F_name</t>
  </si>
  <si>
    <t>Instructor_starID</t>
  </si>
  <si>
    <t>End_Time</t>
  </si>
  <si>
    <t>Start_Time</t>
  </si>
  <si>
    <t>Days1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</si>
</sst>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8D8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rgb="FFDBEAFF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CBCBCB"/>
      </right>
      <top/>
      <bottom/>
      <diagonal/>
    </border>
    <border>
      <left/>
      <right style="medium">
        <color rgb="FFCBCBCB"/>
      </right>
      <top style="medium">
        <color rgb="FF7F7F7F"/>
      </top>
      <bottom/>
      <diagonal/>
    </border>
    <border>
      <left style="medium">
        <color rgb="FFCBCBCB"/>
      </left>
      <right style="medium">
        <color rgb="FFCBCBCB"/>
      </right>
      <top style="medium">
        <color rgb="FF7F7F7F"/>
      </top>
      <bottom/>
      <diagonal/>
    </border>
    <border>
      <left style="medium">
        <color rgb="FFCBCBCB"/>
      </left>
      <right style="medium">
        <color rgb="FFCBCBCB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 indent="1"/>
    </xf>
    <xf numFmtId="0" fontId="1" fillId="4" borderId="4" xfId="0" applyFont="1" applyFill="1" applyBorder="1" applyAlignment="1">
      <alignment horizontal="left" vertical="center" wrapText="1" indent="1"/>
    </xf>
    <xf numFmtId="0" fontId="0" fillId="0" borderId="0" xfId="0"/>
    <xf numFmtId="0" fontId="1" fillId="3" borderId="4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 wrapText="1" indent="1"/>
    </xf>
    <xf numFmtId="0" fontId="1" fillId="3" borderId="4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 indent="1"/>
    </xf>
    <xf numFmtId="0" fontId="0" fillId="0" borderId="0" xfId="0" applyFill="1" applyBorder="1"/>
    <xf numFmtId="0" fontId="1" fillId="3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workbookViewId="0">
      <selection activeCell="L1" sqref="L1"/>
    </sheetView>
  </sheetViews>
  <sheetFormatPr defaultRowHeight="15" x14ac:dyDescent="0.25"/>
  <cols>
    <col min="1" max="1" width="5.7109375" style="9" bestFit="1" customWidth="1"/>
    <col min="2" max="2" width="5.28515625" style="9" bestFit="1" customWidth="1"/>
    <col min="3" max="3" width="14.28515625" style="9" bestFit="1" customWidth="1"/>
    <col min="4" max="4" width="17.5703125" style="9" bestFit="1" customWidth="1"/>
    <col min="5" max="5" width="10.42578125" style="9" bestFit="1" customWidth="1"/>
    <col min="6" max="6" width="13.7109375" style="9" bestFit="1" customWidth="1"/>
    <col min="7" max="7" width="10.140625" style="9" bestFit="1" customWidth="1"/>
    <col min="8" max="8" width="16" style="9" bestFit="1" customWidth="1"/>
    <col min="9" max="9" width="10.28515625" style="9" bestFit="1" customWidth="1"/>
    <col min="10" max="10" width="9.140625" style="9"/>
    <col min="11" max="11" width="16.28515625" style="9" bestFit="1" customWidth="1"/>
    <col min="12" max="12" width="15.28515625" style="9" bestFit="1" customWidth="1"/>
    <col min="13" max="14" width="24.140625" style="9" bestFit="1" customWidth="1"/>
    <col min="15" max="15" width="10.42578125" style="9" bestFit="1" customWidth="1"/>
    <col min="16" max="16" width="24.140625" style="9" bestFit="1" customWidth="1"/>
    <col min="17" max="16384" width="9.140625" style="9"/>
  </cols>
  <sheetData>
    <row r="1" spans="1:14" ht="22.5" customHeight="1" thickBot="1" x14ac:dyDescent="0.3">
      <c r="A1" s="9" t="s">
        <v>0</v>
      </c>
      <c r="B1" s="9" t="s">
        <v>1</v>
      </c>
      <c r="C1" s="7" t="s">
        <v>2</v>
      </c>
      <c r="D1" s="9" t="s">
        <v>3</v>
      </c>
      <c r="E1" s="14" t="s">
        <v>34</v>
      </c>
      <c r="F1" s="14" t="s">
        <v>36</v>
      </c>
      <c r="G1" s="14" t="s">
        <v>35</v>
      </c>
      <c r="H1" s="14" t="s">
        <v>39</v>
      </c>
      <c r="I1" s="14" t="s">
        <v>37</v>
      </c>
      <c r="J1" s="14" t="s">
        <v>38</v>
      </c>
      <c r="K1" s="14" t="s">
        <v>1</v>
      </c>
      <c r="L1" s="14" t="s">
        <v>45</v>
      </c>
      <c r="N1" s="9" t="s">
        <v>40</v>
      </c>
    </row>
    <row r="2" spans="1:14" ht="22.5" customHeight="1" x14ac:dyDescent="0.25">
      <c r="A2" s="13">
        <v>1146</v>
      </c>
      <c r="B2" s="1" t="s">
        <v>42</v>
      </c>
      <c r="C2" s="1" t="s">
        <v>4</v>
      </c>
      <c r="D2" s="3" t="s">
        <v>5</v>
      </c>
      <c r="E2" s="9" t="str">
        <f t="shared" ref="E2:E27" si="0">TEXT(A2,"000000")</f>
        <v>001146</v>
      </c>
      <c r="F2" s="9" t="str">
        <f>MID(D2,1,SEARCH(",",D2)-1)</f>
        <v>Schumacher</v>
      </c>
      <c r="G2" s="9" t="str">
        <f>MID(D2,SEARCH(",",D2)+2,LEN(D2))</f>
        <v>Paul</v>
      </c>
      <c r="H2" s="9" t="str">
        <f>IF(D2="Schumacher, Paul","ab1234cd",IF(D2="Zhang, Mingrui","ef5678gh",IF(D2="Francioni, Joan","ij9012kl",IF(D2="Staff, ","N/A",IF(D2="Iyengar, Sudharsan","mn3456op",IF(D2="Gegg-Harrison, Timothy","qr7890st",IF(D2="Cichanowski, Gerald","uv1234wx",IF(D2="Debnath, Narayan","yz5678ab","Not in list"))))))))</f>
        <v>ab1234cd</v>
      </c>
      <c r="I2" s="9" t="str">
        <f>MID(C2,1,SEARCH("-",C2)-2)</f>
        <v>11:00am</v>
      </c>
      <c r="J2" s="9" t="str">
        <f>MID(C2,SEARCH("-",C2)+2,LEN(C2))</f>
        <v>11:50am</v>
      </c>
      <c r="K2" s="9" t="s">
        <v>44</v>
      </c>
      <c r="L2">
        <f>LEN(K2)</f>
        <v>3</v>
      </c>
      <c r="N2" s="9" t="s">
        <v>41</v>
      </c>
    </row>
    <row r="3" spans="1:14" ht="22.5" customHeight="1" x14ac:dyDescent="0.25">
      <c r="A3" s="8">
        <v>1147</v>
      </c>
      <c r="B3" s="5" t="s">
        <v>43</v>
      </c>
      <c r="C3" s="5" t="s">
        <v>7</v>
      </c>
      <c r="D3" s="6" t="s">
        <v>8</v>
      </c>
      <c r="E3" s="9" t="str">
        <f t="shared" si="0"/>
        <v>001147</v>
      </c>
      <c r="F3" s="9" t="str">
        <f t="shared" ref="F3:F27" si="1">MID(D3,1,SEARCH(",",D3)-1)</f>
        <v>Zhang</v>
      </c>
      <c r="G3" s="9" t="str">
        <f t="shared" ref="G3:G27" si="2">MID(D3,SEARCH(",",D3)+2,LEN(D3))</f>
        <v>Mingrui</v>
      </c>
      <c r="H3" s="9" t="str">
        <f t="shared" ref="H3:H27" si="3">IF(D3="Schumacher, Paul","ab1234cd",IF(D3="Zhang, Mingrui","ef5678gh",IF(D3="Francioni, Joan","ij9012kl",IF(D3="Staff, ","N/A",IF(D3="Iyengar, Sudharsan","mn3456op",IF(D3="Gegg-Harrison, Timothy","qr7890st",IF(D3="Cichanowski, Gerald","uv1234wx",IF(D3="Debnath, Narayan","yz5678ab","Not in list"))))))))</f>
        <v>ef5678gh</v>
      </c>
      <c r="I3" s="9" t="str">
        <f t="shared" ref="I3:I27" si="4">MID(C3,1,SEARCH("-",C3)-2)</f>
        <v>9:30am</v>
      </c>
      <c r="J3" s="9" t="str">
        <f t="shared" ref="J3:J27" si="5">MID(C3,SEARCH("-",C3)+2,LEN(C3))</f>
        <v>10:50am</v>
      </c>
      <c r="K3" s="9" t="s">
        <v>46</v>
      </c>
      <c r="L3" s="9">
        <f t="shared" ref="L3:L27" si="6">LEN(K3)</f>
        <v>2</v>
      </c>
    </row>
    <row r="4" spans="1:14" ht="22.5" customHeight="1" x14ac:dyDescent="0.25">
      <c r="A4" s="11">
        <v>1151</v>
      </c>
      <c r="B4" s="2" t="s">
        <v>42</v>
      </c>
      <c r="C4" s="2" t="s">
        <v>9</v>
      </c>
      <c r="D4" s="4" t="s">
        <v>5</v>
      </c>
      <c r="E4" s="9" t="str">
        <f t="shared" si="0"/>
        <v>001151</v>
      </c>
      <c r="F4" s="9" t="str">
        <f t="shared" si="1"/>
        <v>Schumacher</v>
      </c>
      <c r="G4" s="9" t="str">
        <f t="shared" si="2"/>
        <v>Paul</v>
      </c>
      <c r="H4" s="9" t="str">
        <f t="shared" si="3"/>
        <v>ab1234cd</v>
      </c>
      <c r="I4" s="9" t="str">
        <f t="shared" si="4"/>
        <v>12:00pm</v>
      </c>
      <c r="J4" s="9" t="str">
        <f t="shared" si="5"/>
        <v>12:50pm</v>
      </c>
      <c r="K4" s="9" t="s">
        <v>44</v>
      </c>
      <c r="L4" s="9">
        <f t="shared" si="6"/>
        <v>3</v>
      </c>
    </row>
    <row r="5" spans="1:14" ht="22.5" customHeight="1" x14ac:dyDescent="0.25">
      <c r="A5" s="8">
        <v>1600</v>
      </c>
      <c r="B5" s="5" t="s">
        <v>43</v>
      </c>
      <c r="C5" s="5" t="s">
        <v>10</v>
      </c>
      <c r="D5" s="6" t="s">
        <v>8</v>
      </c>
      <c r="E5" s="9" t="str">
        <f t="shared" si="0"/>
        <v>001600</v>
      </c>
      <c r="F5" s="9" t="str">
        <f t="shared" si="1"/>
        <v>Zhang</v>
      </c>
      <c r="G5" s="9" t="str">
        <f t="shared" si="2"/>
        <v>Mingrui</v>
      </c>
      <c r="H5" s="9" t="str">
        <f t="shared" si="3"/>
        <v>ef5678gh</v>
      </c>
      <c r="I5" s="9" t="str">
        <f t="shared" si="4"/>
        <v>2:00pm</v>
      </c>
      <c r="J5" s="9" t="str">
        <f t="shared" si="5"/>
        <v>3:20pm</v>
      </c>
      <c r="K5" s="9" t="s">
        <v>46</v>
      </c>
      <c r="L5" s="9">
        <f t="shared" si="6"/>
        <v>2</v>
      </c>
    </row>
    <row r="6" spans="1:14" ht="22.5" customHeight="1" x14ac:dyDescent="0.25">
      <c r="A6" s="11">
        <v>987</v>
      </c>
      <c r="B6" s="2" t="s">
        <v>43</v>
      </c>
      <c r="C6" s="2" t="s">
        <v>11</v>
      </c>
      <c r="D6" s="4" t="s">
        <v>12</v>
      </c>
      <c r="E6" s="9" t="str">
        <f t="shared" si="0"/>
        <v>000987</v>
      </c>
      <c r="F6" s="9" t="str">
        <f t="shared" si="1"/>
        <v>Francioni</v>
      </c>
      <c r="G6" s="9" t="str">
        <f t="shared" si="2"/>
        <v>Joan</v>
      </c>
      <c r="H6" s="9" t="str">
        <f t="shared" si="3"/>
        <v>ij9012kl</v>
      </c>
      <c r="I6" s="9" t="str">
        <f t="shared" si="4"/>
        <v>11:00am</v>
      </c>
      <c r="J6" s="9" t="str">
        <f t="shared" si="5"/>
        <v>12:20pm</v>
      </c>
      <c r="K6" s="9" t="s">
        <v>46</v>
      </c>
      <c r="L6" s="9">
        <f t="shared" si="6"/>
        <v>2</v>
      </c>
    </row>
    <row r="7" spans="1:14" ht="22.5" customHeight="1" x14ac:dyDescent="0.25">
      <c r="A7" s="8">
        <v>422</v>
      </c>
      <c r="B7" s="5" t="s">
        <v>43</v>
      </c>
      <c r="C7" s="5" t="s">
        <v>10</v>
      </c>
      <c r="D7" s="6" t="s">
        <v>12</v>
      </c>
      <c r="E7" s="9" t="str">
        <f t="shared" si="0"/>
        <v>000422</v>
      </c>
      <c r="F7" s="9" t="str">
        <f t="shared" si="1"/>
        <v>Francioni</v>
      </c>
      <c r="G7" s="9" t="str">
        <f t="shared" si="2"/>
        <v>Joan</v>
      </c>
      <c r="H7" s="9" t="str">
        <f t="shared" si="3"/>
        <v>ij9012kl</v>
      </c>
      <c r="I7" s="9" t="str">
        <f t="shared" si="4"/>
        <v>2:00pm</v>
      </c>
      <c r="J7" s="9" t="str">
        <f t="shared" si="5"/>
        <v>3:20pm</v>
      </c>
      <c r="K7" s="9" t="s">
        <v>46</v>
      </c>
      <c r="L7" s="9">
        <f t="shared" si="6"/>
        <v>2</v>
      </c>
    </row>
    <row r="8" spans="1:14" ht="22.5" customHeight="1" x14ac:dyDescent="0.25">
      <c r="A8" s="11">
        <v>255</v>
      </c>
      <c r="B8" s="2" t="s">
        <v>13</v>
      </c>
      <c r="C8" s="2" t="s">
        <v>14</v>
      </c>
      <c r="D8" s="4" t="s">
        <v>15</v>
      </c>
      <c r="E8" s="9" t="str">
        <f t="shared" si="0"/>
        <v>000255</v>
      </c>
      <c r="F8" s="9" t="str">
        <f t="shared" si="1"/>
        <v>Staff</v>
      </c>
      <c r="G8" s="9" t="str">
        <f t="shared" si="2"/>
        <v/>
      </c>
      <c r="H8" s="9" t="str">
        <f t="shared" si="3"/>
        <v>N/A</v>
      </c>
      <c r="I8" s="9" t="str">
        <f t="shared" si="4"/>
        <v>9:00am</v>
      </c>
      <c r="J8" s="9" t="str">
        <f t="shared" si="5"/>
        <v>10:50am</v>
      </c>
      <c r="K8" s="9" t="s">
        <v>47</v>
      </c>
      <c r="L8" s="9">
        <f t="shared" si="6"/>
        <v>2</v>
      </c>
    </row>
    <row r="9" spans="1:14" ht="22.5" customHeight="1" x14ac:dyDescent="0.25">
      <c r="A9" s="8">
        <v>254</v>
      </c>
      <c r="B9" s="5" t="s">
        <v>43</v>
      </c>
      <c r="C9" s="5" t="s">
        <v>16</v>
      </c>
      <c r="D9" s="6" t="s">
        <v>5</v>
      </c>
      <c r="E9" s="9" t="str">
        <f t="shared" si="0"/>
        <v>000254</v>
      </c>
      <c r="F9" s="9" t="str">
        <f t="shared" si="1"/>
        <v>Schumacher</v>
      </c>
      <c r="G9" s="9" t="str">
        <f t="shared" si="2"/>
        <v>Paul</v>
      </c>
      <c r="H9" s="9" t="str">
        <f t="shared" si="3"/>
        <v>ab1234cd</v>
      </c>
      <c r="I9" s="9" t="str">
        <f t="shared" si="4"/>
        <v>9:30am</v>
      </c>
      <c r="J9" s="9" t="str">
        <f t="shared" si="5"/>
        <v>11:20am</v>
      </c>
      <c r="K9" s="9" t="s">
        <v>46</v>
      </c>
      <c r="L9" s="9">
        <f t="shared" si="6"/>
        <v>2</v>
      </c>
    </row>
    <row r="10" spans="1:14" ht="22.5" customHeight="1" x14ac:dyDescent="0.25">
      <c r="A10" s="11">
        <v>1205</v>
      </c>
      <c r="B10" s="2" t="s">
        <v>43</v>
      </c>
      <c r="C10" s="2" t="s">
        <v>17</v>
      </c>
      <c r="D10" s="4" t="s">
        <v>5</v>
      </c>
      <c r="E10" s="9" t="str">
        <f t="shared" si="0"/>
        <v>001205</v>
      </c>
      <c r="F10" s="9" t="str">
        <f t="shared" si="1"/>
        <v>Schumacher</v>
      </c>
      <c r="G10" s="9" t="str">
        <f t="shared" si="2"/>
        <v>Paul</v>
      </c>
      <c r="H10" s="9" t="str">
        <f t="shared" si="3"/>
        <v>ab1234cd</v>
      </c>
      <c r="I10" s="9" t="str">
        <f t="shared" si="4"/>
        <v>11:30am</v>
      </c>
      <c r="J10" s="9" t="str">
        <f t="shared" si="5"/>
        <v>1:20pm</v>
      </c>
      <c r="K10" s="9" t="s">
        <v>46</v>
      </c>
      <c r="L10" s="9">
        <f t="shared" si="6"/>
        <v>2</v>
      </c>
    </row>
    <row r="11" spans="1:14" ht="22.5" customHeight="1" x14ac:dyDescent="0.25">
      <c r="A11" s="8">
        <v>2145</v>
      </c>
      <c r="B11" s="5" t="s">
        <v>13</v>
      </c>
      <c r="C11" s="5" t="s">
        <v>18</v>
      </c>
      <c r="D11" s="6" t="s">
        <v>15</v>
      </c>
      <c r="E11" s="9" t="str">
        <f t="shared" si="0"/>
        <v>002145</v>
      </c>
      <c r="F11" s="9" t="str">
        <f t="shared" si="1"/>
        <v>Staff</v>
      </c>
      <c r="G11" s="9" t="str">
        <f t="shared" si="2"/>
        <v/>
      </c>
      <c r="H11" s="9" t="str">
        <f t="shared" si="3"/>
        <v>N/A</v>
      </c>
      <c r="I11" s="9" t="str">
        <f t="shared" si="4"/>
        <v>2:00pm</v>
      </c>
      <c r="J11" s="9" t="str">
        <f t="shared" si="5"/>
        <v>3:50pm</v>
      </c>
      <c r="K11" s="9" t="s">
        <v>47</v>
      </c>
      <c r="L11" s="9">
        <f t="shared" si="6"/>
        <v>2</v>
      </c>
    </row>
    <row r="12" spans="1:14" x14ac:dyDescent="0.25">
      <c r="A12" s="11">
        <v>253</v>
      </c>
      <c r="B12" s="2" t="s">
        <v>13</v>
      </c>
      <c r="C12" s="2" t="s">
        <v>19</v>
      </c>
      <c r="D12" s="4" t="s">
        <v>20</v>
      </c>
      <c r="E12" s="9" t="str">
        <f t="shared" si="0"/>
        <v>000253</v>
      </c>
      <c r="F12" s="9" t="str">
        <f t="shared" si="1"/>
        <v>Iyengar</v>
      </c>
      <c r="G12" s="9" t="str">
        <f t="shared" si="2"/>
        <v>Sudharsan</v>
      </c>
      <c r="H12" s="9" t="str">
        <f t="shared" si="3"/>
        <v>mn3456op</v>
      </c>
      <c r="I12" s="9" t="str">
        <f t="shared" si="4"/>
        <v>8:00am</v>
      </c>
      <c r="J12" s="9" t="str">
        <f t="shared" si="5"/>
        <v>9:50am</v>
      </c>
      <c r="K12" s="9" t="s">
        <v>47</v>
      </c>
      <c r="L12" s="9">
        <f t="shared" si="6"/>
        <v>2</v>
      </c>
    </row>
    <row r="13" spans="1:14" x14ac:dyDescent="0.25">
      <c r="A13" s="8">
        <v>1349</v>
      </c>
      <c r="B13" s="5" t="s">
        <v>13</v>
      </c>
      <c r="C13" s="5" t="s">
        <v>21</v>
      </c>
      <c r="D13" s="6" t="s">
        <v>20</v>
      </c>
      <c r="E13" s="9" t="str">
        <f t="shared" si="0"/>
        <v>001349</v>
      </c>
      <c r="F13" s="9" t="str">
        <f t="shared" si="1"/>
        <v>Iyengar</v>
      </c>
      <c r="G13" s="9" t="str">
        <f t="shared" si="2"/>
        <v>Sudharsan</v>
      </c>
      <c r="H13" s="9" t="str">
        <f t="shared" si="3"/>
        <v>mn3456op</v>
      </c>
      <c r="I13" s="9" t="str">
        <f t="shared" si="4"/>
        <v>10:00am</v>
      </c>
      <c r="J13" s="9" t="str">
        <f t="shared" si="5"/>
        <v>11:50am</v>
      </c>
      <c r="K13" s="9" t="s">
        <v>47</v>
      </c>
      <c r="L13" s="9">
        <f t="shared" si="6"/>
        <v>2</v>
      </c>
    </row>
    <row r="14" spans="1:14" ht="22.5" customHeight="1" x14ac:dyDescent="0.25">
      <c r="A14" s="11">
        <v>430</v>
      </c>
      <c r="B14" s="2" t="s">
        <v>43</v>
      </c>
      <c r="C14" s="2" t="s">
        <v>14</v>
      </c>
      <c r="D14" s="4" t="s">
        <v>22</v>
      </c>
      <c r="E14" s="9" t="str">
        <f t="shared" si="0"/>
        <v>000430</v>
      </c>
      <c r="F14" s="9" t="str">
        <f t="shared" si="1"/>
        <v>Gegg-Harrison</v>
      </c>
      <c r="G14" s="9" t="str">
        <f t="shared" si="2"/>
        <v>Timothy</v>
      </c>
      <c r="H14" s="9" t="str">
        <f t="shared" si="3"/>
        <v>qr7890st</v>
      </c>
      <c r="I14" s="9" t="str">
        <f t="shared" si="4"/>
        <v>9:00am</v>
      </c>
      <c r="J14" s="9" t="str">
        <f t="shared" si="5"/>
        <v>10:50am</v>
      </c>
      <c r="K14" s="9" t="s">
        <v>46</v>
      </c>
      <c r="L14" s="9">
        <f t="shared" si="6"/>
        <v>2</v>
      </c>
    </row>
    <row r="15" spans="1:14" x14ac:dyDescent="0.25">
      <c r="A15" s="8">
        <v>1439</v>
      </c>
      <c r="B15" s="5" t="s">
        <v>43</v>
      </c>
      <c r="C15" s="5" t="s">
        <v>23</v>
      </c>
      <c r="D15" s="6" t="s">
        <v>22</v>
      </c>
      <c r="E15" s="9" t="str">
        <f t="shared" si="0"/>
        <v>001439</v>
      </c>
      <c r="F15" s="9" t="str">
        <f t="shared" si="1"/>
        <v>Gegg-Harrison</v>
      </c>
      <c r="G15" s="9" t="str">
        <f t="shared" si="2"/>
        <v>Timothy</v>
      </c>
      <c r="H15" s="9" t="str">
        <f t="shared" si="3"/>
        <v>qr7890st</v>
      </c>
      <c r="I15" s="9" t="str">
        <f t="shared" si="4"/>
        <v>1:30pm</v>
      </c>
      <c r="J15" s="9" t="str">
        <f t="shared" si="5"/>
        <v>3:20pm</v>
      </c>
      <c r="K15" s="9" t="s">
        <v>46</v>
      </c>
      <c r="L15" s="9">
        <f t="shared" si="6"/>
        <v>2</v>
      </c>
    </row>
    <row r="16" spans="1:14" x14ac:dyDescent="0.25">
      <c r="A16" s="11">
        <v>471</v>
      </c>
      <c r="B16" s="2" t="s">
        <v>43</v>
      </c>
      <c r="C16" s="2" t="s">
        <v>24</v>
      </c>
      <c r="D16" s="4" t="s">
        <v>25</v>
      </c>
      <c r="E16" s="9" t="str">
        <f t="shared" si="0"/>
        <v>000471</v>
      </c>
      <c r="F16" s="9" t="str">
        <f t="shared" si="1"/>
        <v>Cichanowski</v>
      </c>
      <c r="G16" s="9" t="str">
        <f t="shared" si="2"/>
        <v>Gerald</v>
      </c>
      <c r="H16" s="9" t="str">
        <f t="shared" si="3"/>
        <v>uv1234wx</v>
      </c>
      <c r="I16" s="9" t="str">
        <f t="shared" si="4"/>
        <v>7:50am</v>
      </c>
      <c r="J16" s="9" t="str">
        <f t="shared" si="5"/>
        <v>9:20am</v>
      </c>
      <c r="K16" s="9" t="s">
        <v>46</v>
      </c>
      <c r="L16" s="9">
        <f t="shared" si="6"/>
        <v>2</v>
      </c>
    </row>
    <row r="17" spans="1:12" ht="22.5" customHeight="1" x14ac:dyDescent="0.25">
      <c r="A17" s="8">
        <v>179</v>
      </c>
      <c r="B17" s="5" t="s">
        <v>43</v>
      </c>
      <c r="C17" s="5" t="s">
        <v>26</v>
      </c>
      <c r="D17" s="6" t="s">
        <v>27</v>
      </c>
      <c r="E17" s="9" t="str">
        <f t="shared" si="0"/>
        <v>000179</v>
      </c>
      <c r="F17" s="9" t="str">
        <f t="shared" si="1"/>
        <v>Debnath</v>
      </c>
      <c r="G17" s="9" t="str">
        <f t="shared" si="2"/>
        <v>Narayan</v>
      </c>
      <c r="H17" s="9" t="str">
        <f t="shared" si="3"/>
        <v>yz5678ab</v>
      </c>
      <c r="I17" s="9" t="str">
        <f t="shared" si="4"/>
        <v>3:30pm</v>
      </c>
      <c r="J17" s="9" t="str">
        <f t="shared" si="5"/>
        <v>5:20pm</v>
      </c>
      <c r="K17" s="9" t="s">
        <v>46</v>
      </c>
      <c r="L17" s="9">
        <f t="shared" si="6"/>
        <v>2</v>
      </c>
    </row>
    <row r="18" spans="1:12" x14ac:dyDescent="0.25">
      <c r="A18" s="11">
        <v>769</v>
      </c>
      <c r="B18" s="2" t="s">
        <v>42</v>
      </c>
      <c r="C18" s="2" t="s">
        <v>10</v>
      </c>
      <c r="D18" s="4" t="s">
        <v>12</v>
      </c>
      <c r="E18" s="9" t="str">
        <f t="shared" si="0"/>
        <v>000769</v>
      </c>
      <c r="F18" s="9" t="str">
        <f t="shared" si="1"/>
        <v>Francioni</v>
      </c>
      <c r="G18" s="9" t="str">
        <f t="shared" si="2"/>
        <v>Joan</v>
      </c>
      <c r="H18" s="9" t="str">
        <f t="shared" si="3"/>
        <v>ij9012kl</v>
      </c>
      <c r="I18" s="9" t="str">
        <f t="shared" si="4"/>
        <v>2:00pm</v>
      </c>
      <c r="J18" s="9" t="str">
        <f t="shared" si="5"/>
        <v>3:20pm</v>
      </c>
      <c r="K18" s="9" t="s">
        <v>44</v>
      </c>
      <c r="L18" s="9">
        <f t="shared" si="6"/>
        <v>3</v>
      </c>
    </row>
    <row r="19" spans="1:12" x14ac:dyDescent="0.25">
      <c r="A19" s="8">
        <v>2293</v>
      </c>
      <c r="B19" s="5" t="s">
        <v>42</v>
      </c>
      <c r="C19" s="5" t="s">
        <v>9</v>
      </c>
      <c r="D19" s="6" t="s">
        <v>12</v>
      </c>
      <c r="E19" s="9" t="str">
        <f t="shared" si="0"/>
        <v>002293</v>
      </c>
      <c r="F19" s="9" t="str">
        <f t="shared" si="1"/>
        <v>Francioni</v>
      </c>
      <c r="G19" s="9" t="str">
        <f t="shared" si="2"/>
        <v>Joan</v>
      </c>
      <c r="H19" s="9" t="str">
        <f t="shared" si="3"/>
        <v>ij9012kl</v>
      </c>
      <c r="I19" s="9" t="str">
        <f t="shared" si="4"/>
        <v>12:00pm</v>
      </c>
      <c r="J19" s="9" t="str">
        <f t="shared" si="5"/>
        <v>12:50pm</v>
      </c>
      <c r="K19" s="9" t="s">
        <v>44</v>
      </c>
      <c r="L19" s="9">
        <f t="shared" si="6"/>
        <v>3</v>
      </c>
    </row>
    <row r="20" spans="1:12" ht="15" customHeight="1" x14ac:dyDescent="0.25">
      <c r="A20" s="11">
        <v>2292</v>
      </c>
      <c r="B20" s="10" t="s">
        <v>6</v>
      </c>
      <c r="C20" s="10" t="s">
        <v>28</v>
      </c>
      <c r="D20" s="12" t="s">
        <v>22</v>
      </c>
      <c r="E20" s="9" t="str">
        <f t="shared" si="0"/>
        <v>002292</v>
      </c>
      <c r="F20" s="9" t="str">
        <f t="shared" si="1"/>
        <v>Gegg-Harrison</v>
      </c>
      <c r="G20" s="9" t="str">
        <f t="shared" si="2"/>
        <v>Timothy</v>
      </c>
      <c r="H20" s="9" t="str">
        <f t="shared" si="3"/>
        <v>qr7890st</v>
      </c>
      <c r="I20" s="9" t="str">
        <f t="shared" si="4"/>
        <v>4:00pm</v>
      </c>
      <c r="J20" s="9" t="str">
        <f t="shared" si="5"/>
        <v>6:40pm</v>
      </c>
      <c r="K20" s="9" t="s">
        <v>6</v>
      </c>
      <c r="L20" s="9">
        <f t="shared" si="6"/>
        <v>1</v>
      </c>
    </row>
    <row r="21" spans="1:12" x14ac:dyDescent="0.25">
      <c r="A21" s="8">
        <v>1348</v>
      </c>
      <c r="B21" s="5" t="s">
        <v>43</v>
      </c>
      <c r="C21" s="5" t="s">
        <v>29</v>
      </c>
      <c r="D21" s="6" t="s">
        <v>25</v>
      </c>
      <c r="E21" s="9" t="str">
        <f t="shared" si="0"/>
        <v>001348</v>
      </c>
      <c r="F21" s="9" t="str">
        <f t="shared" si="1"/>
        <v>Cichanowski</v>
      </c>
      <c r="G21" s="9" t="str">
        <f t="shared" si="2"/>
        <v>Gerald</v>
      </c>
      <c r="H21" s="9" t="str">
        <f t="shared" si="3"/>
        <v>uv1234wx</v>
      </c>
      <c r="I21" s="9" t="str">
        <f t="shared" si="4"/>
        <v>11:00am</v>
      </c>
      <c r="J21" s="9" t="str">
        <f t="shared" si="5"/>
        <v>12:50pm</v>
      </c>
      <c r="K21" s="9" t="s">
        <v>46</v>
      </c>
      <c r="L21" s="9">
        <f t="shared" si="6"/>
        <v>2</v>
      </c>
    </row>
    <row r="22" spans="1:12" x14ac:dyDescent="0.25">
      <c r="A22" s="11">
        <v>2154</v>
      </c>
      <c r="B22" s="2" t="s">
        <v>13</v>
      </c>
      <c r="C22" s="2" t="s">
        <v>30</v>
      </c>
      <c r="D22" s="4" t="s">
        <v>8</v>
      </c>
      <c r="E22" s="9" t="str">
        <f t="shared" si="0"/>
        <v>002154</v>
      </c>
      <c r="F22" s="9" t="str">
        <f t="shared" si="1"/>
        <v>Zhang</v>
      </c>
      <c r="G22" s="9" t="str">
        <f t="shared" si="2"/>
        <v>Mingrui</v>
      </c>
      <c r="H22" s="9" t="str">
        <f t="shared" si="3"/>
        <v>ef5678gh</v>
      </c>
      <c r="I22" s="9" t="str">
        <f t="shared" si="4"/>
        <v>9:00am</v>
      </c>
      <c r="J22" s="9" t="str">
        <f t="shared" si="5"/>
        <v>10:20am</v>
      </c>
      <c r="K22" s="9" t="s">
        <v>47</v>
      </c>
      <c r="L22" s="9">
        <f t="shared" si="6"/>
        <v>2</v>
      </c>
    </row>
    <row r="23" spans="1:12" ht="22.5" customHeight="1" x14ac:dyDescent="0.25">
      <c r="A23" s="8">
        <v>180</v>
      </c>
      <c r="B23" s="5" t="s">
        <v>43</v>
      </c>
      <c r="C23" s="5" t="s">
        <v>11</v>
      </c>
      <c r="D23" s="6" t="s">
        <v>15</v>
      </c>
      <c r="E23" s="9" t="str">
        <f t="shared" si="0"/>
        <v>000180</v>
      </c>
      <c r="F23" s="9" t="str">
        <f t="shared" si="1"/>
        <v>Staff</v>
      </c>
      <c r="G23" s="9" t="str">
        <f t="shared" si="2"/>
        <v/>
      </c>
      <c r="H23" s="9" t="str">
        <f t="shared" si="3"/>
        <v>N/A</v>
      </c>
      <c r="I23" s="9" t="str">
        <f t="shared" si="4"/>
        <v>11:00am</v>
      </c>
      <c r="J23" s="9" t="str">
        <f t="shared" si="5"/>
        <v>12:20pm</v>
      </c>
      <c r="K23" s="9" t="s">
        <v>46</v>
      </c>
      <c r="L23" s="9">
        <f t="shared" si="6"/>
        <v>2</v>
      </c>
    </row>
    <row r="24" spans="1:12" x14ac:dyDescent="0.25">
      <c r="A24" s="11">
        <v>443</v>
      </c>
      <c r="B24" s="2" t="s">
        <v>43</v>
      </c>
      <c r="C24" s="2" t="s">
        <v>31</v>
      </c>
      <c r="D24" s="4" t="s">
        <v>27</v>
      </c>
      <c r="E24" s="9" t="str">
        <f t="shared" si="0"/>
        <v>000443</v>
      </c>
      <c r="F24" s="9" t="str">
        <f t="shared" si="1"/>
        <v>Debnath</v>
      </c>
      <c r="G24" s="9" t="str">
        <f t="shared" si="2"/>
        <v>Narayan</v>
      </c>
      <c r="H24" s="9" t="str">
        <f t="shared" si="3"/>
        <v>yz5678ab</v>
      </c>
      <c r="I24" s="9" t="str">
        <f t="shared" si="4"/>
        <v>12:30pm</v>
      </c>
      <c r="J24" s="9" t="str">
        <f t="shared" si="5"/>
        <v>1:50pm</v>
      </c>
      <c r="K24" s="9" t="s">
        <v>46</v>
      </c>
      <c r="L24" s="9">
        <f t="shared" si="6"/>
        <v>2</v>
      </c>
    </row>
    <row r="25" spans="1:12" x14ac:dyDescent="0.25">
      <c r="A25" s="8">
        <v>1148</v>
      </c>
      <c r="B25" s="5" t="s">
        <v>43</v>
      </c>
      <c r="C25" s="5" t="s">
        <v>32</v>
      </c>
      <c r="D25" s="6" t="s">
        <v>22</v>
      </c>
      <c r="E25" s="9" t="str">
        <f t="shared" si="0"/>
        <v>001148</v>
      </c>
      <c r="F25" s="9" t="str">
        <f t="shared" si="1"/>
        <v>Gegg-Harrison</v>
      </c>
      <c r="G25" s="9" t="str">
        <f t="shared" si="2"/>
        <v>Timothy</v>
      </c>
      <c r="H25" s="9" t="str">
        <f t="shared" si="3"/>
        <v>qr7890st</v>
      </c>
      <c r="I25" s="9" t="str">
        <f t="shared" si="4"/>
        <v>3:30pm</v>
      </c>
      <c r="J25" s="9" t="str">
        <f t="shared" si="5"/>
        <v>4:50pm</v>
      </c>
      <c r="K25" s="9" t="s">
        <v>46</v>
      </c>
      <c r="L25" s="9">
        <f t="shared" si="6"/>
        <v>2</v>
      </c>
    </row>
    <row r="26" spans="1:12" ht="22.5" customHeight="1" x14ac:dyDescent="0.25">
      <c r="A26" s="11">
        <v>1347</v>
      </c>
      <c r="B26" s="2" t="s">
        <v>43</v>
      </c>
      <c r="C26" s="2" t="s">
        <v>33</v>
      </c>
      <c r="D26" s="4" t="s">
        <v>20</v>
      </c>
      <c r="E26" s="9" t="str">
        <f t="shared" si="0"/>
        <v>001347</v>
      </c>
      <c r="F26" s="9" t="str">
        <f t="shared" si="1"/>
        <v>Iyengar</v>
      </c>
      <c r="G26" s="9" t="str">
        <f t="shared" si="2"/>
        <v>Sudharsan</v>
      </c>
      <c r="H26" s="9" t="str">
        <f t="shared" si="3"/>
        <v>mn3456op</v>
      </c>
      <c r="I26" s="9" t="str">
        <f t="shared" si="4"/>
        <v>8:00am</v>
      </c>
      <c r="J26" s="9" t="str">
        <f t="shared" si="5"/>
        <v>9:20am</v>
      </c>
      <c r="K26" s="9" t="s">
        <v>46</v>
      </c>
      <c r="L26" s="9">
        <f t="shared" si="6"/>
        <v>2</v>
      </c>
    </row>
    <row r="27" spans="1:12" x14ac:dyDescent="0.25">
      <c r="A27" s="8">
        <v>770</v>
      </c>
      <c r="B27" s="5" t="s">
        <v>13</v>
      </c>
      <c r="C27" s="5" t="s">
        <v>29</v>
      </c>
      <c r="D27" s="6" t="s">
        <v>8</v>
      </c>
      <c r="E27" s="9" t="str">
        <f t="shared" si="0"/>
        <v>000770</v>
      </c>
      <c r="F27" s="9" t="str">
        <f t="shared" si="1"/>
        <v>Zhang</v>
      </c>
      <c r="G27" s="9" t="str">
        <f t="shared" si="2"/>
        <v>Mingrui</v>
      </c>
      <c r="H27" s="9" t="str">
        <f t="shared" si="3"/>
        <v>ef5678gh</v>
      </c>
      <c r="I27" s="9" t="str">
        <f t="shared" si="4"/>
        <v>11:00am</v>
      </c>
      <c r="J27" s="9" t="str">
        <f t="shared" si="5"/>
        <v>12:50pm</v>
      </c>
      <c r="K27" s="9" t="s">
        <v>47</v>
      </c>
      <c r="L27" s="9">
        <f t="shared" si="6"/>
        <v>2</v>
      </c>
    </row>
    <row r="28" spans="1:12" ht="15" customHeight="1" x14ac:dyDescent="0.25">
      <c r="A28" s="11"/>
      <c r="B28" s="10"/>
      <c r="C28" s="10"/>
      <c r="D28" s="12"/>
    </row>
    <row r="30" spans="1:12" x14ac:dyDescent="0.25">
      <c r="K30" s="9" t="s">
        <v>48</v>
      </c>
      <c r="L30" s="9">
        <f>SUM(L2:L27)</f>
        <v>55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6"/>
  <sheetViews>
    <sheetView tabSelected="1" workbookViewId="0">
      <selection activeCell="G1" sqref="G1:O26"/>
    </sheetView>
  </sheetViews>
  <sheetFormatPr defaultRowHeight="15" x14ac:dyDescent="0.25"/>
  <cols>
    <col min="1" max="1" width="4.42578125" style="9" bestFit="1" customWidth="1"/>
    <col min="2" max="2" width="4.85546875" style="9" bestFit="1" customWidth="1"/>
    <col min="3" max="3" width="3.5703125" style="9" bestFit="1" customWidth="1"/>
    <col min="4" max="4" width="5.28515625" style="9" bestFit="1" customWidth="1"/>
    <col min="5" max="5" width="14.28515625" style="9" bestFit="1" customWidth="1"/>
    <col min="6" max="6" width="19.42578125" style="9" customWidth="1"/>
    <col min="7" max="7" width="10.42578125" style="9" bestFit="1" customWidth="1"/>
    <col min="8" max="8" width="12" style="9" bestFit="1" customWidth="1"/>
    <col min="9" max="9" width="10.140625" style="9" bestFit="1" customWidth="1"/>
    <col min="10" max="10" width="15.85546875" style="9" bestFit="1" customWidth="1"/>
    <col min="11" max="11" width="10.140625" style="9" bestFit="1" customWidth="1"/>
    <col min="12" max="13" width="9.140625" style="9"/>
    <col min="14" max="14" width="15.28515625" bestFit="1" customWidth="1"/>
    <col min="15" max="15" width="9.5703125" style="9" bestFit="1" customWidth="1"/>
    <col min="17" max="16384" width="9.140625" style="9"/>
  </cols>
  <sheetData>
    <row r="1" spans="1:19" ht="15.75" thickBot="1" x14ac:dyDescent="0.3">
      <c r="A1" s="9" t="s">
        <v>0</v>
      </c>
      <c r="B1" s="9" t="s">
        <v>49</v>
      </c>
      <c r="C1" s="7" t="s">
        <v>50</v>
      </c>
      <c r="D1" s="9" t="s">
        <v>1</v>
      </c>
      <c r="E1" s="7" t="s">
        <v>2</v>
      </c>
      <c r="F1" s="9" t="s">
        <v>3</v>
      </c>
      <c r="G1" t="s">
        <v>34</v>
      </c>
      <c r="H1" s="14" t="s">
        <v>67</v>
      </c>
      <c r="I1" s="14" t="s">
        <v>69</v>
      </c>
      <c r="J1" s="14" t="s">
        <v>70</v>
      </c>
      <c r="K1" s="14" t="s">
        <v>72</v>
      </c>
      <c r="L1" s="14" t="s">
        <v>71</v>
      </c>
      <c r="M1" s="14" t="s">
        <v>1</v>
      </c>
      <c r="N1" s="14" t="s">
        <v>45</v>
      </c>
      <c r="O1" s="9" t="s">
        <v>68</v>
      </c>
      <c r="S1" s="14" t="s">
        <v>73</v>
      </c>
    </row>
    <row r="2" spans="1:19" ht="22.5" customHeight="1" x14ac:dyDescent="0.25">
      <c r="A2" s="15">
        <v>1418</v>
      </c>
      <c r="B2" s="16" t="s">
        <v>51</v>
      </c>
      <c r="C2" s="15">
        <v>101</v>
      </c>
      <c r="D2" s="1" t="s">
        <v>52</v>
      </c>
      <c r="E2" s="1" t="s">
        <v>33</v>
      </c>
      <c r="F2" s="3" t="s">
        <v>5</v>
      </c>
      <c r="G2" s="9" t="str">
        <f>TEXT(A2,"000000")</f>
        <v>001418</v>
      </c>
      <c r="H2" s="9" t="str">
        <f>MID(F2,1,SEARCH(",",F2)-1)</f>
        <v>Schumacher</v>
      </c>
      <c r="I2" s="9" t="str">
        <f>MID(F2,SEARCH(",",F2)+2,LEN(F2))</f>
        <v>Paul</v>
      </c>
      <c r="J2" s="22" t="str">
        <f>IF(F2="Schumacher, Paul","ab1234cd",IF(F2="Zhang, Mingrui","ef5678gh",IF(F2="Francioni, Joan","ij9012kl",IF(F2="Iyengar, Sudharsan","mn3456op",IF(F2="Gegg-Harrison, Timothy","qr7890st",IF(F2="Cichanowski, Gerald","uv1234wx",IF(F2="Debnath, Narayan","yz5678ab",IF(F2="Ahmed, Emdad","cd1111ef",IF(F2="Anderson, Nicole","gh2222jk",IF(F2="Hillery, Allen","up3049im",IF(F2="Lin, Chi-Cheng","lm3333no","Not in List")))))))))))</f>
        <v>ab1234cd</v>
      </c>
      <c r="K2" s="9" t="str">
        <f>MID(E2,1,SEARCH("-",E2)-2)</f>
        <v>8:00am</v>
      </c>
      <c r="L2" s="9" t="str">
        <f>MID(E2,SEARCH("-",E2)+2,LEN(E2))</f>
        <v>9:20am</v>
      </c>
      <c r="M2" s="9" t="str">
        <f>SUBSTITUTE(S2,"Th","H")</f>
        <v>TH</v>
      </c>
      <c r="N2">
        <f>LEN(M2)</f>
        <v>2</v>
      </c>
      <c r="O2" s="9" t="str">
        <f>CONCATENATE(B2,"-",C2)</f>
        <v>CS-101</v>
      </c>
      <c r="S2" s="9" t="str">
        <f>SUBSTITUTE(D2," ","")</f>
        <v>TTh</v>
      </c>
    </row>
    <row r="3" spans="1:19" ht="22.5" customHeight="1" x14ac:dyDescent="0.25">
      <c r="A3" s="18">
        <v>1571</v>
      </c>
      <c r="B3" s="19" t="s">
        <v>51</v>
      </c>
      <c r="C3" s="18">
        <v>101</v>
      </c>
      <c r="D3" s="5" t="s">
        <v>52</v>
      </c>
      <c r="E3" s="5" t="s">
        <v>31</v>
      </c>
      <c r="F3" s="6" t="s">
        <v>5</v>
      </c>
      <c r="G3" s="9" t="str">
        <f t="shared" ref="G3:G26" si="0">TEXT(A3,"000000")</f>
        <v>001571</v>
      </c>
      <c r="H3" s="9" t="str">
        <f t="shared" ref="H3:H26" si="1">MID(F3,1,SEARCH(",",F3)-1)</f>
        <v>Schumacher</v>
      </c>
      <c r="I3" s="9" t="str">
        <f t="shared" ref="I3:I26" si="2">MID(F3,SEARCH(",",F3)+2,LEN(F3))</f>
        <v>Paul</v>
      </c>
      <c r="J3" s="22" t="str">
        <f t="shared" ref="J3:J26" si="3">IF(F3="Schumacher, Paul","ab1234cd",IF(F3="Zhang, Mingrui","ef5678gh",IF(F3="Francioni, Joan","ij9012kl",IF(F3="Iyengar, Sudharsan","mn3456op",IF(F3="Gegg-Harrison, Timothy","qr7890st",IF(F3="Cichanowski, Gerald","uv1234wx",IF(F3="Debnath, Narayan","yz5678ab",IF(F3="Ahmed, Emdad","cd1111ef",IF(F3="Anderson, Nicole","gh2222jk",IF(F3="Hillery, Allen","up3049im",IF(F3="Lin, Chi-Cheng","lm3333no","Not in List")))))))))))</f>
        <v>ab1234cd</v>
      </c>
      <c r="K3" s="9" t="str">
        <f t="shared" ref="K3:K26" si="4">MID(E3,1,SEARCH("-",E3)-2)</f>
        <v>12:30pm</v>
      </c>
      <c r="L3" s="9" t="str">
        <f t="shared" ref="L3:L26" si="5">MID(E3,SEARCH("-",E3)+2,LEN(E3))</f>
        <v>1:50pm</v>
      </c>
      <c r="M3" s="9" t="str">
        <f t="shared" ref="M3:M26" si="6">SUBSTITUTE(S3,"Th","H")</f>
        <v>TH</v>
      </c>
      <c r="N3" s="9">
        <f t="shared" ref="N3:N26" si="7">LEN(M3)</f>
        <v>2</v>
      </c>
      <c r="O3" s="9" t="str">
        <f>CONCATENATE(B3,"-",C3)</f>
        <v>CS-101</v>
      </c>
      <c r="S3" s="9" t="str">
        <f>SUBSTITUTE(D3," ","")</f>
        <v>TTh</v>
      </c>
    </row>
    <row r="4" spans="1:19" x14ac:dyDescent="0.25">
      <c r="A4" s="17">
        <v>1087</v>
      </c>
      <c r="B4" s="18" t="s">
        <v>51</v>
      </c>
      <c r="C4" s="17">
        <v>216</v>
      </c>
      <c r="D4" s="2" t="s">
        <v>13</v>
      </c>
      <c r="E4" s="2" t="s">
        <v>54</v>
      </c>
      <c r="F4" s="4" t="s">
        <v>55</v>
      </c>
      <c r="G4" s="9" t="str">
        <f t="shared" si="0"/>
        <v>001087</v>
      </c>
      <c r="H4" s="9" t="str">
        <f t="shared" si="1"/>
        <v>Hillery</v>
      </c>
      <c r="I4" s="9" t="str">
        <f t="shared" si="2"/>
        <v>Allen</v>
      </c>
      <c r="J4" s="22" t="str">
        <f t="shared" si="3"/>
        <v>up3049im</v>
      </c>
      <c r="K4" s="9" t="str">
        <f t="shared" si="4"/>
        <v>12:00pm</v>
      </c>
      <c r="L4" s="9" t="str">
        <f t="shared" si="5"/>
        <v>1:20pm</v>
      </c>
      <c r="M4" s="9" t="str">
        <f t="shared" si="6"/>
        <v>MW</v>
      </c>
      <c r="N4" s="9">
        <f t="shared" si="7"/>
        <v>2</v>
      </c>
      <c r="O4" s="9" t="str">
        <f>CONCATENATE(B4,"-",C4)</f>
        <v>CS-216</v>
      </c>
      <c r="S4" s="9" t="str">
        <f>SUBSTITUTE(D4," ","")</f>
        <v>MW</v>
      </c>
    </row>
    <row r="5" spans="1:19" x14ac:dyDescent="0.25">
      <c r="A5" s="18">
        <v>717</v>
      </c>
      <c r="B5" s="19" t="s">
        <v>51</v>
      </c>
      <c r="C5" s="18">
        <v>234</v>
      </c>
      <c r="D5" s="5" t="s">
        <v>13</v>
      </c>
      <c r="E5" s="5" t="s">
        <v>19</v>
      </c>
      <c r="F5" s="6" t="s">
        <v>20</v>
      </c>
      <c r="G5" s="9" t="str">
        <f t="shared" si="0"/>
        <v>000717</v>
      </c>
      <c r="H5" s="9" t="str">
        <f t="shared" si="1"/>
        <v>Iyengar</v>
      </c>
      <c r="I5" s="9" t="str">
        <f t="shared" si="2"/>
        <v>Sudharsan</v>
      </c>
      <c r="J5" s="22" t="str">
        <f t="shared" si="3"/>
        <v>mn3456op</v>
      </c>
      <c r="K5" s="9" t="str">
        <f t="shared" si="4"/>
        <v>8:00am</v>
      </c>
      <c r="L5" s="9" t="str">
        <f t="shared" si="5"/>
        <v>9:50am</v>
      </c>
      <c r="M5" s="9" t="str">
        <f t="shared" si="6"/>
        <v>MW</v>
      </c>
      <c r="N5" s="9">
        <f t="shared" si="7"/>
        <v>2</v>
      </c>
      <c r="O5" s="9" t="str">
        <f>CONCATENATE(B5,"-",C5)</f>
        <v>CS-234</v>
      </c>
      <c r="S5" s="9" t="str">
        <f>SUBSTITUTE(D5," ","")</f>
        <v>MW</v>
      </c>
    </row>
    <row r="6" spans="1:19" x14ac:dyDescent="0.25">
      <c r="A6" s="17">
        <v>1602</v>
      </c>
      <c r="B6" s="18" t="s">
        <v>51</v>
      </c>
      <c r="C6" s="17">
        <v>234</v>
      </c>
      <c r="D6" s="2" t="s">
        <v>13</v>
      </c>
      <c r="E6" s="2" t="s">
        <v>21</v>
      </c>
      <c r="F6" s="4" t="s">
        <v>20</v>
      </c>
      <c r="G6" s="9" t="str">
        <f t="shared" si="0"/>
        <v>001602</v>
      </c>
      <c r="H6" s="9" t="str">
        <f t="shared" si="1"/>
        <v>Iyengar</v>
      </c>
      <c r="I6" s="9" t="str">
        <f t="shared" si="2"/>
        <v>Sudharsan</v>
      </c>
      <c r="J6" s="22" t="str">
        <f t="shared" si="3"/>
        <v>mn3456op</v>
      </c>
      <c r="K6" s="9" t="str">
        <f t="shared" si="4"/>
        <v>10:00am</v>
      </c>
      <c r="L6" s="9" t="str">
        <f t="shared" si="5"/>
        <v>11:50am</v>
      </c>
      <c r="M6" s="9" t="str">
        <f t="shared" si="6"/>
        <v>MW</v>
      </c>
      <c r="N6" s="9">
        <f t="shared" si="7"/>
        <v>2</v>
      </c>
      <c r="O6" s="9" t="str">
        <f>CONCATENATE(B6,"-",C6)</f>
        <v>CS-234</v>
      </c>
      <c r="S6" s="9" t="str">
        <f>SUBSTITUTE(D6," ","")</f>
        <v>MW</v>
      </c>
    </row>
    <row r="7" spans="1:19" x14ac:dyDescent="0.25">
      <c r="A7" s="18">
        <v>718</v>
      </c>
      <c r="B7" s="19" t="s">
        <v>51</v>
      </c>
      <c r="C7" s="18">
        <v>250</v>
      </c>
      <c r="D7" s="5" t="s">
        <v>13</v>
      </c>
      <c r="E7" s="5" t="s">
        <v>7</v>
      </c>
      <c r="F7" s="6" t="s">
        <v>5</v>
      </c>
      <c r="G7" s="9" t="str">
        <f t="shared" si="0"/>
        <v>000718</v>
      </c>
      <c r="H7" s="9" t="str">
        <f t="shared" si="1"/>
        <v>Schumacher</v>
      </c>
      <c r="I7" s="9" t="str">
        <f t="shared" si="2"/>
        <v>Paul</v>
      </c>
      <c r="J7" s="22" t="str">
        <f t="shared" si="3"/>
        <v>ab1234cd</v>
      </c>
      <c r="K7" s="9" t="str">
        <f t="shared" si="4"/>
        <v>9:30am</v>
      </c>
      <c r="L7" s="9" t="str">
        <f t="shared" si="5"/>
        <v>10:50am</v>
      </c>
      <c r="M7" s="9" t="str">
        <f t="shared" si="6"/>
        <v>MW</v>
      </c>
      <c r="N7" s="9">
        <f t="shared" si="7"/>
        <v>2</v>
      </c>
      <c r="O7" s="9" t="str">
        <f>CONCATENATE(B7,"-",C7)</f>
        <v>CS-250</v>
      </c>
      <c r="S7" s="9" t="str">
        <f>SUBSTITUTE(D7," ","")</f>
        <v>MW</v>
      </c>
    </row>
    <row r="8" spans="1:19" ht="22.5" customHeight="1" x14ac:dyDescent="0.25">
      <c r="A8" s="18">
        <v>718</v>
      </c>
      <c r="B8" s="19" t="s">
        <v>51</v>
      </c>
      <c r="C8" s="18">
        <v>251</v>
      </c>
      <c r="D8" s="5" t="s">
        <v>57</v>
      </c>
      <c r="E8" s="5" t="s">
        <v>58</v>
      </c>
      <c r="F8" s="6" t="s">
        <v>5</v>
      </c>
      <c r="G8" s="9" t="str">
        <f t="shared" si="0"/>
        <v>000718</v>
      </c>
      <c r="H8" s="9" t="str">
        <f t="shared" si="1"/>
        <v>Schumacher</v>
      </c>
      <c r="I8" s="9" t="str">
        <f t="shared" si="2"/>
        <v>Paul</v>
      </c>
      <c r="J8" s="22" t="str">
        <f t="shared" si="3"/>
        <v>ab1234cd</v>
      </c>
      <c r="K8" s="9" t="str">
        <f t="shared" si="4"/>
        <v>9:30am</v>
      </c>
      <c r="L8" s="9" t="str">
        <f t="shared" si="5"/>
        <v>10:20am</v>
      </c>
      <c r="M8" s="9" t="str">
        <f t="shared" si="6"/>
        <v>F</v>
      </c>
      <c r="N8" s="9">
        <f t="shared" si="7"/>
        <v>1</v>
      </c>
      <c r="O8" s="9" t="str">
        <f>CONCATENATE(B8,"-",C8)</f>
        <v>CS-251</v>
      </c>
      <c r="S8" s="9" t="str">
        <f>SUBSTITUTE(D8," ","")</f>
        <v>F</v>
      </c>
    </row>
    <row r="9" spans="1:19" x14ac:dyDescent="0.25">
      <c r="A9" s="17">
        <v>1088</v>
      </c>
      <c r="B9" s="18" t="s">
        <v>51</v>
      </c>
      <c r="C9" s="17">
        <v>250</v>
      </c>
      <c r="D9" s="2" t="s">
        <v>13</v>
      </c>
      <c r="E9" s="2" t="s">
        <v>11</v>
      </c>
      <c r="F9" s="4" t="s">
        <v>5</v>
      </c>
      <c r="G9" s="9" t="str">
        <f t="shared" si="0"/>
        <v>001088</v>
      </c>
      <c r="H9" s="9" t="str">
        <f t="shared" si="1"/>
        <v>Schumacher</v>
      </c>
      <c r="I9" s="9" t="str">
        <f t="shared" si="2"/>
        <v>Paul</v>
      </c>
      <c r="J9" s="22" t="str">
        <f t="shared" si="3"/>
        <v>ab1234cd</v>
      </c>
      <c r="K9" s="9" t="str">
        <f t="shared" si="4"/>
        <v>11:00am</v>
      </c>
      <c r="L9" s="9" t="str">
        <f t="shared" si="5"/>
        <v>12:20pm</v>
      </c>
      <c r="M9" s="9" t="str">
        <f t="shared" si="6"/>
        <v>MW</v>
      </c>
      <c r="N9" s="9">
        <f t="shared" si="7"/>
        <v>2</v>
      </c>
      <c r="O9" s="9" t="str">
        <f>CONCATENATE(B9,"-",C9)</f>
        <v>CS-250</v>
      </c>
      <c r="S9" s="9" t="str">
        <f>SUBSTITUTE(D9," ","")</f>
        <v>MW</v>
      </c>
    </row>
    <row r="10" spans="1:19" ht="30" customHeight="1" x14ac:dyDescent="0.25">
      <c r="A10" s="17">
        <v>1089</v>
      </c>
      <c r="B10" s="18" t="s">
        <v>51</v>
      </c>
      <c r="C10" s="17">
        <v>251</v>
      </c>
      <c r="D10" s="2" t="s">
        <v>57</v>
      </c>
      <c r="E10" s="2" t="s">
        <v>4</v>
      </c>
      <c r="F10" s="4" t="s">
        <v>5</v>
      </c>
      <c r="G10" s="9" t="str">
        <f t="shared" si="0"/>
        <v>001089</v>
      </c>
      <c r="H10" s="9" t="str">
        <f t="shared" si="1"/>
        <v>Schumacher</v>
      </c>
      <c r="I10" s="9" t="str">
        <f t="shared" si="2"/>
        <v>Paul</v>
      </c>
      <c r="J10" s="22" t="str">
        <f t="shared" si="3"/>
        <v>ab1234cd</v>
      </c>
      <c r="K10" s="9" t="str">
        <f t="shared" si="4"/>
        <v>11:00am</v>
      </c>
      <c r="L10" s="9" t="str">
        <f t="shared" si="5"/>
        <v>11:50am</v>
      </c>
      <c r="M10" s="9" t="str">
        <f t="shared" si="6"/>
        <v>F</v>
      </c>
      <c r="N10" s="9">
        <f t="shared" si="7"/>
        <v>1</v>
      </c>
      <c r="O10" s="9" t="str">
        <f>CONCATENATE(B10,"-",C10)</f>
        <v>CS-251</v>
      </c>
      <c r="S10" s="9" t="str">
        <f>SUBSTITUTE(D10," ","")</f>
        <v>F</v>
      </c>
    </row>
    <row r="11" spans="1:19" ht="52.5" customHeight="1" x14ac:dyDescent="0.25">
      <c r="A11" s="18">
        <v>719</v>
      </c>
      <c r="B11" s="19" t="s">
        <v>51</v>
      </c>
      <c r="C11" s="18">
        <v>275</v>
      </c>
      <c r="D11" s="5" t="s">
        <v>52</v>
      </c>
      <c r="E11" s="5" t="s">
        <v>16</v>
      </c>
      <c r="F11" s="6" t="s">
        <v>59</v>
      </c>
      <c r="G11" s="9" t="str">
        <f t="shared" si="0"/>
        <v>000719</v>
      </c>
      <c r="H11" s="9" t="str">
        <f t="shared" si="1"/>
        <v>Ahmed</v>
      </c>
      <c r="I11" s="9" t="str">
        <f t="shared" si="2"/>
        <v>Emdad</v>
      </c>
      <c r="J11" s="22" t="str">
        <f t="shared" si="3"/>
        <v>cd1111ef</v>
      </c>
      <c r="K11" s="9" t="str">
        <f t="shared" si="4"/>
        <v>9:30am</v>
      </c>
      <c r="L11" s="9" t="str">
        <f t="shared" si="5"/>
        <v>11:20am</v>
      </c>
      <c r="M11" s="9" t="str">
        <f t="shared" si="6"/>
        <v>TH</v>
      </c>
      <c r="N11" s="9">
        <f t="shared" si="7"/>
        <v>2</v>
      </c>
      <c r="O11" s="9" t="str">
        <f>CONCATENATE(B11,"-",C11)</f>
        <v>CS-275</v>
      </c>
      <c r="S11" s="9" t="str">
        <f>SUBSTITUTE(D11," ","")</f>
        <v>TTh</v>
      </c>
    </row>
    <row r="12" spans="1:19" ht="37.5" customHeight="1" x14ac:dyDescent="0.25">
      <c r="A12" s="17">
        <v>2293</v>
      </c>
      <c r="B12" s="18" t="s">
        <v>51</v>
      </c>
      <c r="C12" s="17">
        <v>275</v>
      </c>
      <c r="D12" s="2" t="s">
        <v>13</v>
      </c>
      <c r="E12" s="2" t="s">
        <v>60</v>
      </c>
      <c r="F12" s="4" t="s">
        <v>59</v>
      </c>
      <c r="G12" s="9" t="str">
        <f t="shared" si="0"/>
        <v>002293</v>
      </c>
      <c r="H12" s="9" t="str">
        <f t="shared" si="1"/>
        <v>Ahmed</v>
      </c>
      <c r="I12" s="9" t="str">
        <f t="shared" si="2"/>
        <v>Emdad</v>
      </c>
      <c r="J12" s="22" t="str">
        <f t="shared" si="3"/>
        <v>cd1111ef</v>
      </c>
      <c r="K12" s="9" t="str">
        <f t="shared" si="4"/>
        <v>4:00pm</v>
      </c>
      <c r="L12" s="9" t="str">
        <f t="shared" si="5"/>
        <v>5:50pm</v>
      </c>
      <c r="M12" s="9" t="str">
        <f t="shared" si="6"/>
        <v>MW</v>
      </c>
      <c r="N12" s="9">
        <f t="shared" si="7"/>
        <v>2</v>
      </c>
      <c r="O12" s="9" t="str">
        <f>CONCATENATE(B12,"-",C12)</f>
        <v>CS-275</v>
      </c>
      <c r="S12" s="9" t="str">
        <f>SUBSTITUTE(D12," ","")</f>
        <v>MW</v>
      </c>
    </row>
    <row r="13" spans="1:19" ht="22.5" customHeight="1" x14ac:dyDescent="0.25">
      <c r="A13" s="18">
        <v>2292</v>
      </c>
      <c r="B13" s="19" t="s">
        <v>51</v>
      </c>
      <c r="C13" s="18">
        <v>313</v>
      </c>
      <c r="D13" s="5" t="s">
        <v>13</v>
      </c>
      <c r="E13" s="5" t="s">
        <v>10</v>
      </c>
      <c r="F13" s="6" t="s">
        <v>59</v>
      </c>
      <c r="G13" s="9" t="str">
        <f t="shared" si="0"/>
        <v>002292</v>
      </c>
      <c r="H13" s="9" t="str">
        <f t="shared" si="1"/>
        <v>Ahmed</v>
      </c>
      <c r="I13" s="9" t="str">
        <f t="shared" si="2"/>
        <v>Emdad</v>
      </c>
      <c r="J13" s="22" t="str">
        <f t="shared" si="3"/>
        <v>cd1111ef</v>
      </c>
      <c r="K13" s="9" t="str">
        <f t="shared" si="4"/>
        <v>2:00pm</v>
      </c>
      <c r="L13" s="9" t="str">
        <f t="shared" si="5"/>
        <v>3:20pm</v>
      </c>
      <c r="M13" s="9" t="str">
        <f t="shared" si="6"/>
        <v>MW</v>
      </c>
      <c r="N13" s="9">
        <f t="shared" si="7"/>
        <v>2</v>
      </c>
      <c r="O13" s="9" t="str">
        <f>CONCATENATE(B13,"-",C13)</f>
        <v>CS-313</v>
      </c>
      <c r="S13" s="9" t="str">
        <f>SUBSTITUTE(D13," ","")</f>
        <v>MW</v>
      </c>
    </row>
    <row r="14" spans="1:19" x14ac:dyDescent="0.25">
      <c r="A14" s="17">
        <v>720</v>
      </c>
      <c r="B14" s="18" t="s">
        <v>51</v>
      </c>
      <c r="C14" s="17">
        <v>341</v>
      </c>
      <c r="D14" s="2" t="s">
        <v>52</v>
      </c>
      <c r="E14" s="2" t="s">
        <v>26</v>
      </c>
      <c r="F14" s="4" t="s">
        <v>27</v>
      </c>
      <c r="G14" s="9" t="str">
        <f t="shared" si="0"/>
        <v>000720</v>
      </c>
      <c r="H14" s="9" t="str">
        <f t="shared" si="1"/>
        <v>Debnath</v>
      </c>
      <c r="I14" s="9" t="str">
        <f t="shared" si="2"/>
        <v>Narayan</v>
      </c>
      <c r="J14" s="22" t="str">
        <f t="shared" si="3"/>
        <v>yz5678ab</v>
      </c>
      <c r="K14" s="9" t="str">
        <f t="shared" si="4"/>
        <v>3:30pm</v>
      </c>
      <c r="L14" s="9" t="str">
        <f t="shared" si="5"/>
        <v>5:20pm</v>
      </c>
      <c r="M14" s="9" t="str">
        <f t="shared" si="6"/>
        <v>TH</v>
      </c>
      <c r="N14" s="9">
        <f t="shared" si="7"/>
        <v>2</v>
      </c>
      <c r="O14" s="9" t="str">
        <f>CONCATENATE(B14,"-",C14)</f>
        <v>CS-341</v>
      </c>
      <c r="S14" s="9" t="str">
        <f>SUBSTITUTE(D14," ","")</f>
        <v>TTh</v>
      </c>
    </row>
    <row r="15" spans="1:19" ht="22.5" customHeight="1" x14ac:dyDescent="0.25">
      <c r="A15" s="18">
        <v>1307</v>
      </c>
      <c r="B15" s="19" t="s">
        <v>51</v>
      </c>
      <c r="C15" s="18">
        <v>368</v>
      </c>
      <c r="D15" s="5" t="s">
        <v>53</v>
      </c>
      <c r="E15" s="5" t="s">
        <v>60</v>
      </c>
      <c r="F15" s="6" t="s">
        <v>62</v>
      </c>
      <c r="G15" s="9" t="str">
        <f t="shared" si="0"/>
        <v>001307</v>
      </c>
      <c r="H15" s="9" t="str">
        <f t="shared" si="1"/>
        <v>Lin</v>
      </c>
      <c r="I15" s="9" t="str">
        <f t="shared" si="2"/>
        <v>Chi-Cheng</v>
      </c>
      <c r="J15" s="22" t="str">
        <f t="shared" si="3"/>
        <v>lm3333no</v>
      </c>
      <c r="K15" s="9" t="str">
        <f t="shared" si="4"/>
        <v>4:00pm</v>
      </c>
      <c r="L15" s="9" t="str">
        <f t="shared" si="5"/>
        <v>5:50pm</v>
      </c>
      <c r="M15" s="9" t="str">
        <f t="shared" si="6"/>
        <v>M</v>
      </c>
      <c r="N15" s="9">
        <f t="shared" si="7"/>
        <v>1</v>
      </c>
      <c r="O15" s="9" t="str">
        <f>CONCATENATE(B15,"-",C15)</f>
        <v>CS-368</v>
      </c>
      <c r="S15" s="9" t="str">
        <f>SUBSTITUTE(D15," ","")</f>
        <v>M</v>
      </c>
    </row>
    <row r="16" spans="1:19" x14ac:dyDescent="0.25">
      <c r="A16" s="17">
        <v>721</v>
      </c>
      <c r="B16" s="18" t="s">
        <v>51</v>
      </c>
      <c r="C16" s="17">
        <v>375</v>
      </c>
      <c r="D16" s="2" t="s">
        <v>13</v>
      </c>
      <c r="E16" s="2" t="s">
        <v>29</v>
      </c>
      <c r="F16" s="4" t="s">
        <v>25</v>
      </c>
      <c r="G16" s="9" t="str">
        <f t="shared" si="0"/>
        <v>000721</v>
      </c>
      <c r="H16" s="9" t="str">
        <f t="shared" si="1"/>
        <v>Cichanowski</v>
      </c>
      <c r="I16" s="9" t="str">
        <f t="shared" si="2"/>
        <v>Gerald</v>
      </c>
      <c r="J16" s="22" t="str">
        <f t="shared" si="3"/>
        <v>uv1234wx</v>
      </c>
      <c r="K16" s="9" t="str">
        <f t="shared" si="4"/>
        <v>11:00am</v>
      </c>
      <c r="L16" s="9" t="str">
        <f t="shared" si="5"/>
        <v>12:50pm</v>
      </c>
      <c r="M16" s="9" t="str">
        <f t="shared" si="6"/>
        <v>MW</v>
      </c>
      <c r="N16" s="9">
        <f t="shared" si="7"/>
        <v>2</v>
      </c>
      <c r="O16" s="9" t="str">
        <f>CONCATENATE(B16,"-",C16)</f>
        <v>CS-375</v>
      </c>
      <c r="S16" s="9" t="str">
        <f>SUBSTITUTE(D16," ","")</f>
        <v>MW</v>
      </c>
    </row>
    <row r="17" spans="1:19" ht="22.5" customHeight="1" x14ac:dyDescent="0.25">
      <c r="A17" s="18">
        <v>722</v>
      </c>
      <c r="B17" s="19" t="s">
        <v>51</v>
      </c>
      <c r="C17" s="18">
        <v>385</v>
      </c>
      <c r="D17" s="5" t="s">
        <v>52</v>
      </c>
      <c r="E17" s="5" t="s">
        <v>10</v>
      </c>
      <c r="F17" s="6" t="s">
        <v>8</v>
      </c>
      <c r="G17" s="9" t="str">
        <f t="shared" si="0"/>
        <v>000722</v>
      </c>
      <c r="H17" s="9" t="str">
        <f t="shared" si="1"/>
        <v>Zhang</v>
      </c>
      <c r="I17" s="9" t="str">
        <f t="shared" si="2"/>
        <v>Mingrui</v>
      </c>
      <c r="J17" s="22" t="str">
        <f t="shared" si="3"/>
        <v>ef5678gh</v>
      </c>
      <c r="K17" s="9" t="str">
        <f t="shared" si="4"/>
        <v>2:00pm</v>
      </c>
      <c r="L17" s="9" t="str">
        <f t="shared" si="5"/>
        <v>3:20pm</v>
      </c>
      <c r="M17" s="9" t="str">
        <f t="shared" si="6"/>
        <v>TH</v>
      </c>
      <c r="N17" s="9">
        <f t="shared" si="7"/>
        <v>2</v>
      </c>
      <c r="O17" s="9" t="str">
        <f>CONCATENATE(B17,"-",C17)</f>
        <v>CS-385</v>
      </c>
      <c r="S17" s="9" t="str">
        <f>SUBSTITUTE(D17," ","")</f>
        <v>TTh</v>
      </c>
    </row>
    <row r="18" spans="1:19" ht="22.5" customHeight="1" x14ac:dyDescent="0.25">
      <c r="A18" s="17">
        <v>2590</v>
      </c>
      <c r="B18" s="18" t="s">
        <v>51</v>
      </c>
      <c r="C18" s="17">
        <v>385</v>
      </c>
      <c r="D18" s="2" t="s">
        <v>52</v>
      </c>
      <c r="E18" s="2" t="s">
        <v>7</v>
      </c>
      <c r="F18" s="4" t="s">
        <v>8</v>
      </c>
      <c r="G18" s="9" t="str">
        <f t="shared" si="0"/>
        <v>002590</v>
      </c>
      <c r="H18" s="9" t="str">
        <f t="shared" si="1"/>
        <v>Zhang</v>
      </c>
      <c r="I18" s="9" t="str">
        <f t="shared" si="2"/>
        <v>Mingrui</v>
      </c>
      <c r="J18" s="22" t="str">
        <f t="shared" si="3"/>
        <v>ef5678gh</v>
      </c>
      <c r="K18" s="9" t="str">
        <f t="shared" si="4"/>
        <v>9:30am</v>
      </c>
      <c r="L18" s="9" t="str">
        <f t="shared" si="5"/>
        <v>10:50am</v>
      </c>
      <c r="M18" s="9" t="str">
        <f t="shared" si="6"/>
        <v>TH</v>
      </c>
      <c r="N18" s="9">
        <f t="shared" si="7"/>
        <v>2</v>
      </c>
      <c r="O18" s="9" t="str">
        <f>CONCATENATE(B18,"-",C18)</f>
        <v>CS-385</v>
      </c>
      <c r="S18" s="9" t="str">
        <f>SUBSTITUTE(D18," ","")</f>
        <v>TTh</v>
      </c>
    </row>
    <row r="19" spans="1:19" ht="15" customHeight="1" x14ac:dyDescent="0.25">
      <c r="A19" s="18">
        <v>2429</v>
      </c>
      <c r="B19" s="19" t="s">
        <v>51</v>
      </c>
      <c r="C19" s="18">
        <v>411</v>
      </c>
      <c r="D19" s="20" t="s">
        <v>6</v>
      </c>
      <c r="E19" s="20" t="s">
        <v>63</v>
      </c>
      <c r="F19" s="18" t="s">
        <v>27</v>
      </c>
      <c r="G19" s="9" t="str">
        <f t="shared" si="0"/>
        <v>002429</v>
      </c>
      <c r="H19" s="9" t="str">
        <f t="shared" si="1"/>
        <v>Debnath</v>
      </c>
      <c r="I19" s="9" t="str">
        <f t="shared" si="2"/>
        <v>Narayan</v>
      </c>
      <c r="J19" s="22" t="str">
        <f t="shared" si="3"/>
        <v>yz5678ab</v>
      </c>
      <c r="K19" s="9" t="str">
        <f t="shared" si="4"/>
        <v>4:00pm</v>
      </c>
      <c r="L19" s="9" t="str">
        <f t="shared" si="5"/>
        <v>6:20pm</v>
      </c>
      <c r="M19" s="9" t="str">
        <f t="shared" si="6"/>
        <v>W</v>
      </c>
      <c r="N19" s="9">
        <f t="shared" si="7"/>
        <v>1</v>
      </c>
      <c r="O19" s="9" t="str">
        <f>CONCATENATE(B19,"-",C19)</f>
        <v>CS-411</v>
      </c>
      <c r="S19" s="9" t="str">
        <f>SUBSTITUTE(D19," ","")</f>
        <v>W</v>
      </c>
    </row>
    <row r="20" spans="1:19" ht="51" customHeight="1" x14ac:dyDescent="0.25">
      <c r="A20" s="17">
        <v>2449</v>
      </c>
      <c r="B20" s="18" t="s">
        <v>51</v>
      </c>
      <c r="C20" s="17">
        <v>413</v>
      </c>
      <c r="D20" s="2" t="s">
        <v>13</v>
      </c>
      <c r="E20" s="2" t="s">
        <v>24</v>
      </c>
      <c r="F20" s="4" t="s">
        <v>25</v>
      </c>
      <c r="G20" s="9" t="str">
        <f t="shared" si="0"/>
        <v>002449</v>
      </c>
      <c r="H20" s="9" t="str">
        <f t="shared" si="1"/>
        <v>Cichanowski</v>
      </c>
      <c r="I20" s="9" t="str">
        <f t="shared" si="2"/>
        <v>Gerald</v>
      </c>
      <c r="J20" s="22" t="str">
        <f t="shared" si="3"/>
        <v>uv1234wx</v>
      </c>
      <c r="K20" s="9" t="str">
        <f t="shared" si="4"/>
        <v>7:50am</v>
      </c>
      <c r="L20" s="9" t="str">
        <f t="shared" si="5"/>
        <v>9:20am</v>
      </c>
      <c r="M20" s="9" t="str">
        <f t="shared" si="6"/>
        <v>MW</v>
      </c>
      <c r="N20" s="9">
        <f t="shared" si="7"/>
        <v>2</v>
      </c>
      <c r="O20" s="9" t="str">
        <f>CONCATENATE(B20,"-",C20)</f>
        <v>CS-413</v>
      </c>
      <c r="S20" s="9" t="str">
        <f>SUBSTITUTE(D20," ","")</f>
        <v>MW</v>
      </c>
    </row>
    <row r="21" spans="1:19" ht="52.5" customHeight="1" x14ac:dyDescent="0.25">
      <c r="A21" s="18">
        <v>723</v>
      </c>
      <c r="B21" s="19" t="s">
        <v>51</v>
      </c>
      <c r="C21" s="18">
        <v>415</v>
      </c>
      <c r="D21" s="5" t="s">
        <v>52</v>
      </c>
      <c r="E21" s="5" t="s">
        <v>31</v>
      </c>
      <c r="F21" s="6" t="s">
        <v>27</v>
      </c>
      <c r="G21" s="9" t="str">
        <f t="shared" si="0"/>
        <v>000723</v>
      </c>
      <c r="H21" s="9" t="str">
        <f t="shared" si="1"/>
        <v>Debnath</v>
      </c>
      <c r="I21" s="9" t="str">
        <f t="shared" si="2"/>
        <v>Narayan</v>
      </c>
      <c r="J21" s="22" t="str">
        <f t="shared" si="3"/>
        <v>yz5678ab</v>
      </c>
      <c r="K21" s="9" t="str">
        <f t="shared" si="4"/>
        <v>12:30pm</v>
      </c>
      <c r="L21" s="9" t="str">
        <f t="shared" si="5"/>
        <v>1:50pm</v>
      </c>
      <c r="M21" s="9" t="str">
        <f t="shared" si="6"/>
        <v>TH</v>
      </c>
      <c r="N21" s="9">
        <f t="shared" si="7"/>
        <v>2</v>
      </c>
      <c r="O21" s="9" t="str">
        <f>CONCATENATE(B21,"-",C21)</f>
        <v>CS-415</v>
      </c>
      <c r="S21" s="9" t="str">
        <f>SUBSTITUTE(D21," ","")</f>
        <v>TTh</v>
      </c>
    </row>
    <row r="22" spans="1:19" ht="37.5" customHeight="1" x14ac:dyDescent="0.25">
      <c r="A22" s="17">
        <v>901</v>
      </c>
      <c r="B22" s="18" t="s">
        <v>51</v>
      </c>
      <c r="C22" s="17">
        <v>444</v>
      </c>
      <c r="D22" s="2" t="s">
        <v>64</v>
      </c>
      <c r="E22" s="2" t="s">
        <v>10</v>
      </c>
      <c r="F22" s="4" t="s">
        <v>12</v>
      </c>
      <c r="G22" s="9" t="str">
        <f t="shared" si="0"/>
        <v>000901</v>
      </c>
      <c r="H22" s="9" t="str">
        <f t="shared" si="1"/>
        <v>Francioni</v>
      </c>
      <c r="I22" s="9" t="str">
        <f t="shared" si="2"/>
        <v>Joan</v>
      </c>
      <c r="J22" s="22" t="str">
        <f t="shared" si="3"/>
        <v>ij9012kl</v>
      </c>
      <c r="K22" s="9" t="str">
        <f t="shared" si="4"/>
        <v>2:00pm</v>
      </c>
      <c r="L22" s="9" t="str">
        <f t="shared" si="5"/>
        <v>3:20pm</v>
      </c>
      <c r="M22" s="9" t="str">
        <f t="shared" si="6"/>
        <v>MWF</v>
      </c>
      <c r="N22" s="9">
        <f t="shared" si="7"/>
        <v>3</v>
      </c>
      <c r="O22" s="9" t="str">
        <f>CONCATENATE(B22,"-",C22)</f>
        <v>CS-444</v>
      </c>
      <c r="S22" s="9" t="str">
        <f>SUBSTITUTE(D22," ","")</f>
        <v>MWF</v>
      </c>
    </row>
    <row r="23" spans="1:19" ht="37.5" customHeight="1" x14ac:dyDescent="0.25">
      <c r="A23" s="18">
        <v>1605</v>
      </c>
      <c r="B23" s="19" t="s">
        <v>51</v>
      </c>
      <c r="C23" s="18">
        <v>471</v>
      </c>
      <c r="D23" s="5" t="s">
        <v>52</v>
      </c>
      <c r="E23" s="5" t="s">
        <v>33</v>
      </c>
      <c r="F23" s="6" t="s">
        <v>20</v>
      </c>
      <c r="G23" s="9" t="str">
        <f t="shared" si="0"/>
        <v>001605</v>
      </c>
      <c r="H23" s="9" t="str">
        <f t="shared" si="1"/>
        <v>Iyengar</v>
      </c>
      <c r="I23" s="9" t="str">
        <f t="shared" si="2"/>
        <v>Sudharsan</v>
      </c>
      <c r="J23" s="22" t="str">
        <f t="shared" si="3"/>
        <v>mn3456op</v>
      </c>
      <c r="K23" s="9" t="str">
        <f t="shared" si="4"/>
        <v>8:00am</v>
      </c>
      <c r="L23" s="9" t="str">
        <f t="shared" si="5"/>
        <v>9:20am</v>
      </c>
      <c r="M23" s="9" t="str">
        <f t="shared" si="6"/>
        <v>TH</v>
      </c>
      <c r="N23" s="9">
        <f t="shared" si="7"/>
        <v>2</v>
      </c>
      <c r="O23" s="9" t="str">
        <f>CONCATENATE(B23,"-",C23)</f>
        <v>CS-471</v>
      </c>
      <c r="S23" s="9" t="str">
        <f>SUBSTITUTE(D23," ","")</f>
        <v>TTh</v>
      </c>
    </row>
    <row r="24" spans="1:19" ht="30" customHeight="1" x14ac:dyDescent="0.25">
      <c r="A24" s="17">
        <v>971</v>
      </c>
      <c r="B24" s="18" t="s">
        <v>51</v>
      </c>
      <c r="C24" s="17">
        <v>491</v>
      </c>
      <c r="D24" s="21" t="s">
        <v>61</v>
      </c>
      <c r="E24" s="21" t="s">
        <v>65</v>
      </c>
      <c r="F24" s="17" t="s">
        <v>8</v>
      </c>
      <c r="G24" s="9" t="str">
        <f t="shared" si="0"/>
        <v>000971</v>
      </c>
      <c r="H24" s="9" t="str">
        <f t="shared" si="1"/>
        <v>Zhang</v>
      </c>
      <c r="I24" s="9" t="str">
        <f t="shared" si="2"/>
        <v>Mingrui</v>
      </c>
      <c r="J24" s="22" t="str">
        <f t="shared" si="3"/>
        <v>ef5678gh</v>
      </c>
      <c r="K24" s="9" t="s">
        <v>65</v>
      </c>
      <c r="L24" s="9" t="s">
        <v>65</v>
      </c>
      <c r="M24" s="9" t="str">
        <f t="shared" si="6"/>
        <v>n/a</v>
      </c>
      <c r="N24" s="9">
        <f t="shared" si="7"/>
        <v>3</v>
      </c>
      <c r="O24" s="9" t="str">
        <f>CONCATENATE(B24,"-",C24)</f>
        <v>CS-491</v>
      </c>
      <c r="S24" s="9" t="str">
        <f>SUBSTITUTE(D24," ","")</f>
        <v>n/a</v>
      </c>
    </row>
    <row r="25" spans="1:19" x14ac:dyDescent="0.25">
      <c r="A25" s="18">
        <v>724</v>
      </c>
      <c r="B25" s="19" t="s">
        <v>51</v>
      </c>
      <c r="C25" s="18">
        <v>495</v>
      </c>
      <c r="D25" s="5" t="s">
        <v>13</v>
      </c>
      <c r="E25" s="5" t="s">
        <v>66</v>
      </c>
      <c r="F25" s="6" t="s">
        <v>8</v>
      </c>
      <c r="G25" s="9" t="str">
        <f t="shared" si="0"/>
        <v>000724</v>
      </c>
      <c r="H25" s="9" t="str">
        <f t="shared" si="1"/>
        <v>Zhang</v>
      </c>
      <c r="I25" s="9" t="str">
        <f t="shared" si="2"/>
        <v>Mingrui</v>
      </c>
      <c r="J25" s="22" t="str">
        <f t="shared" si="3"/>
        <v>ef5678gh</v>
      </c>
      <c r="K25" s="9" t="str">
        <f t="shared" si="4"/>
        <v>10:00am</v>
      </c>
      <c r="L25" s="9" t="str">
        <f t="shared" si="5"/>
        <v>11:20am</v>
      </c>
      <c r="M25" s="9" t="str">
        <f t="shared" si="6"/>
        <v>MW</v>
      </c>
      <c r="N25" s="9">
        <f t="shared" si="7"/>
        <v>2</v>
      </c>
      <c r="O25" s="9" t="str">
        <f>CONCATENATE(B25,"-",C25)</f>
        <v>CS-495</v>
      </c>
      <c r="S25" s="9" t="str">
        <f>SUBSTITUTE(D25," ","")</f>
        <v>MW</v>
      </c>
    </row>
    <row r="26" spans="1:19" x14ac:dyDescent="0.25">
      <c r="A26" s="18">
        <v>725</v>
      </c>
      <c r="B26" s="19" t="s">
        <v>51</v>
      </c>
      <c r="C26" s="18">
        <v>496</v>
      </c>
      <c r="D26" s="5" t="s">
        <v>6</v>
      </c>
      <c r="E26" s="5" t="s">
        <v>56</v>
      </c>
      <c r="F26" s="6" t="s">
        <v>12</v>
      </c>
      <c r="G26" s="9" t="str">
        <f t="shared" si="0"/>
        <v>000725</v>
      </c>
      <c r="H26" s="9" t="str">
        <f t="shared" si="1"/>
        <v>Francioni</v>
      </c>
      <c r="I26" s="9" t="str">
        <f t="shared" si="2"/>
        <v>Joan</v>
      </c>
      <c r="J26" s="22" t="str">
        <f t="shared" si="3"/>
        <v>ij9012kl</v>
      </c>
      <c r="K26" s="9" t="str">
        <f t="shared" si="4"/>
        <v>8:00am</v>
      </c>
      <c r="L26" s="9" t="str">
        <f t="shared" si="5"/>
        <v>10:00am</v>
      </c>
      <c r="M26" s="9" t="str">
        <f t="shared" si="6"/>
        <v>W</v>
      </c>
      <c r="N26" s="9">
        <f t="shared" si="7"/>
        <v>1</v>
      </c>
      <c r="O26" s="9" t="str">
        <f>CONCATENATE(B26,"-",C26)</f>
        <v>CS-496</v>
      </c>
      <c r="S26" s="9" t="str">
        <f>SUBSTITUTE(D26," ","")</f>
        <v>W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Winona State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WSU</dc:creator>
  <cp:lastModifiedBy>WSU</cp:lastModifiedBy>
  <dcterms:created xsi:type="dcterms:W3CDTF">2016-04-30T18:39:10Z</dcterms:created>
  <dcterms:modified xsi:type="dcterms:W3CDTF">2016-05-01T20:33:39Z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3866e7d0-0734-4500-b8d2-de9c6a506d33</vt:lpwstr>
  </property>
</Properties>
</file>